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9fbd8c5d9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Client_Data" sheetId="1" r:id="R553e449c0a2349f6"/>
    <x:sheet xmlns:r="http://schemas.openxmlformats.org/officeDocument/2006/relationships" name="Monthly_Visibility_Check" sheetId="2" r:id="Rf3daa275825b46dd"/>
    <x:sheet xmlns:r="http://schemas.openxmlformats.org/officeDocument/2006/relationships" name="Contribution_Summary" sheetId="3" r:id="Rd0b61e4e62ad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F9FAF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bb5bd37204ad0" /><Relationship Type="http://schemas.openxmlformats.org/officeDocument/2006/relationships/theme" Target="/xl/theme/theme1.xml" Id="Rf5a6d87b658c42eb" /><Relationship Type="http://schemas.openxmlformats.org/officeDocument/2006/relationships/sharedStrings" Target="/xl/sharedStrings.xml" Id="Rf8e2ae51686e4765" /><Relationship Type="http://schemas.openxmlformats.org/officeDocument/2006/relationships/worksheet" Target="/xl/worksheets/sheet1.xml" Id="R553e449c0a2349f6" /><Relationship Type="http://schemas.openxmlformats.org/officeDocument/2006/relationships/worksheet" Target="/xl/worksheets/sheet2.xml" Id="Rf3daa275825b46dd" /><Relationship Type="http://schemas.openxmlformats.org/officeDocument/2006/relationships/worksheet" Target="/xl/worksheets/sheet3.xml" Id="Rd0b61e4e62ad4a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976ba6c0864531" /><Relationship Type="http://schemas.openxmlformats.org/officeDocument/2006/relationships/chart" Target="/xl/drawings/charts/chart2.xml" Id="R257326dd874b42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Contribution Visibility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Total Revenue</c:v>
          </c:tx>
          <c:cat>
            <c:strRef>
              <c:f>'Contribution_Summary'!$A$2:$A$4</c:f>
              <c:strCache>
                <c:ptCount val="0"/>
              </c:strCache>
            </c:strRef>
          </c:cat>
          <c:val>
            <c:numRef>
              <c:f>'Contribution_Summary'!$B$2:$B$4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Contribution</c:v>
          </c:tx>
          <c:cat>
            <c:strRef>
              <c:f>'Contribution_Summary'!$A$2:$A$4</c:f>
              <c:strCache>
                <c:ptCount val="0"/>
              </c:strCache>
            </c:strRef>
          </c:cat>
          <c:val>
            <c:numRef>
              <c:f>'Contribution_Summary'!$C$2:$C$4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Average Contribution Margin</c:v>
          </c:tx>
          <c:cat>
            <c:strRef>
              <c:f>'Contribution_Summary'!$A$2:$A$4</c:f>
              <c:strCache>
                <c:ptCount val="0"/>
              </c:strCache>
            </c:strRef>
          </c:cat>
          <c:val>
            <c:numRef>
              <c:f>'Contribution_Summary'!$D$2:$D$4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Watch/Risk Clients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976ba6c086453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7326dd874b42a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mpleClientData" displayName="SampleClientData" ref="A1:H13" headerRowCount="1">
  <x:tableColumns count="8">
    <x:tableColumn id="1" name="Month"/>
    <x:tableColumn id="2" name="Client"/>
    <x:tableColumn id="3" name="Revenue"/>
    <x:tableColumn id="4" name="Direct Delivery Cost"/>
    <x:tableColumn id="5" name="Contribution"/>
    <x:tableColumn id="6" name="Contribution Margin %"/>
    <x:tableColumn id="7" name="Status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onthlyVisibilityCheck" displayName="MonthlyVisibilityCheck" ref="A1:G4" headerRowCount="1">
  <x:tableColumns count="7">
    <x:tableColumn id="1" name="Month"/>
    <x:tableColumn id="2" name="Revenue Trend"/>
    <x:tableColumn id="3" name="Contribution Trend"/>
    <x:tableColumn id="4" name="Delivery Pressure"/>
    <x:tableColumn id="5" name="Hiring Pressure"/>
    <x:tableColumn id="6" name="Founder Load"/>
    <x:tableColumn id="7" name="Visibility Note"/>
  </x:tableColumns>
  <x:tableStyleInfo name="TableStyleMedium2" showRowStripes="1"/>
</x:table>
</file>

<file path=xl/tables/table3.xml><?xml version="1.0" encoding="utf-8"?>
<x:table xmlns:x="http://schemas.openxmlformats.org/spreadsheetml/2006/main" id="3" name="ContributionSummary" displayName="ContributionSummary" ref="A1:G4" headerRowCount="1">
  <x:tableColumns count="7">
    <x:tableColumn id="1" name="Month"/>
    <x:tableColumn id="2" name="Total Revenue"/>
    <x:tableColumn id="3" name="Total Contribution"/>
    <x:tableColumn id="4" name="Average Contribution Margin"/>
    <x:tableColumn id="5" name="Active Clients"/>
    <x:tableColumn id="6" name="Watch/Risk Clients"/>
    <x:tableColumn id="7" name="Pressure Sign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a48226fbd641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ce2fadb0084e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d1aa242e41f4225" /><Relationship Type="http://schemas.openxmlformats.org/officeDocument/2006/relationships/table" Target="/xl/tables/table3.xml" Id="R3c9f00e80cb640b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20" hidden="0" customWidth="1"/>
    <x:col min="5" max="5" width="16" hidden="0" customWidth="1"/>
    <x:col min="6" max="6" width="20" hidden="0" customWidth="1"/>
    <x:col min="7" max="7" width="12" hidden="0" customWidth="1"/>
    <x:col min="8" max="8" width="38" hidden="0" customWidth="1"/>
  </x:cols>
  <x:sheetData>
    <x:row r="1" ht="28" customHeight="1">
      <x:c r="A1" s="6" t="str">
        <x:v>Month</x:v>
      </x:c>
      <x:c r="B1" s="6" t="str">
        <x:v>Client</x:v>
      </x:c>
      <x:c r="C1" s="6" t="str">
        <x:v>Revenue</x:v>
      </x:c>
      <x:c r="D1" s="6" t="str">
        <x:v>Direct Delivery Cost</x:v>
      </x:c>
      <x:c r="E1" s="6" t="str">
        <x:v>Contribution</x:v>
      </x:c>
      <x:c r="F1" s="6" t="str">
        <x:v>Contribution Margin %</x:v>
      </x:c>
      <x:c r="G1" s="6" t="str">
        <x:v>Status</x:v>
      </x:c>
      <x:c r="H1" s="6" t="str">
        <x:v>Notes</x:v>
      </x:c>
    </x:row>
    <x:row r="2">
      <x:c r="A2" s="32" t="str">
        <x:v>2026-01</x:v>
      </x:c>
      <x:c r="B2" s="32" t="str">
        <x:v>Alpha Media</x:v>
      </x:c>
      <x:c r="C2" s="33" t="n">
        <x:v>18000</x:v>
      </x:c>
      <x:c r="D2" s="33" t="n">
        <x:v>7200</x:v>
      </x:c>
      <x:c r="E2" s="33" t="n">
        <x:f>C2-D2</x:f>
        <x:v>10800</x:v>
      </x:c>
      <x:c r="F2" s="34" t="n">
        <x:f>IFERROR(E2/C2,0)</x:f>
        <x:v>0.6</x:v>
      </x:c>
      <x:c r="G2" s="32" t="str">
        <x:v>Active</x:v>
      </x:c>
      <x:c r="H2" s="32" t="str">
        <x:v>Stable retainer, normal delivery load</x:v>
      </x:c>
    </x:row>
    <x:row r="3">
      <x:c r="A3" s="32" t="str">
        <x:v>2026-01</x:v>
      </x:c>
      <x:c r="B3" s="32" t="str">
        <x:v>Bright Retail</x:v>
      </x:c>
      <x:c r="C3" s="33" t="n">
        <x:v>14000</x:v>
      </x:c>
      <x:c r="D3" s="33" t="n">
        <x:v>6100</x:v>
      </x:c>
      <x:c r="E3" s="33" t="n">
        <x:f>C3-D3</x:f>
        <x:v>7900</x:v>
      </x:c>
      <x:c r="F3" s="34" t="n">
        <x:f>IFERROR(E3/C3,0)</x:f>
        <x:v>0.5642857142857143</x:v>
      </x:c>
      <x:c r="G3" s="32" t="str">
        <x:v>Active</x:v>
      </x:c>
      <x:c r="H3" s="32" t="str">
        <x:v>Scope slightly expanded</x:v>
      </x:c>
    </x:row>
    <x:row r="4">
      <x:c r="A4" s="32" t="str">
        <x:v>2026-01</x:v>
      </x:c>
      <x:c r="B4" s="32" t="str">
        <x:v>Clear SaaS</x:v>
      </x:c>
      <x:c r="C4" s="33" t="n">
        <x:v>22000</x:v>
      </x:c>
      <x:c r="D4" s="33" t="n">
        <x:v>9500</x:v>
      </x:c>
      <x:c r="E4" s="33" t="n">
        <x:f>C4-D4</x:f>
        <x:v>12500</x:v>
      </x:c>
      <x:c r="F4" s="34" t="n">
        <x:f>IFERROR(E4/C4,0)</x:f>
        <x:v>0.5681818181818182</x:v>
      </x:c>
      <x:c r="G4" s="32" t="str">
        <x:v>Active</x:v>
      </x:c>
      <x:c r="H4" s="32" t="str">
        <x:v>Strong revenue, rising delivery cost</x:v>
      </x:c>
    </x:row>
    <x:row r="5">
      <x:c r="A5" s="32" t="str">
        <x:v>2026-01</x:v>
      </x:c>
      <x:c r="B5" s="32" t="str">
        <x:v>Delta Fitness</x:v>
      </x:c>
      <x:c r="C5" s="33" t="n">
        <x:v>9000</x:v>
      </x:c>
      <x:c r="D5" s="33" t="n">
        <x:v>5100</x:v>
      </x:c>
      <x:c r="E5" s="33" t="n">
        <x:f>C5-D5</x:f>
        <x:v>3900</x:v>
      </x:c>
      <x:c r="F5" s="34" t="n">
        <x:f>IFERROR(E5/C5,0)</x:f>
        <x:v>0.43333333333333335</x:v>
      </x:c>
      <x:c r="G5" s="32" t="str">
        <x:v>Watch</x:v>
      </x:c>
      <x:c r="H5" s="32" t="str">
        <x:v>Heavy reporting requests</x:v>
      </x:c>
    </x:row>
    <x:row r="6">
      <x:c r="A6" s="32" t="str">
        <x:v>2026-02</x:v>
      </x:c>
      <x:c r="B6" s="32" t="str">
        <x:v>Alpha Media</x:v>
      </x:c>
      <x:c r="C6" s="33" t="n">
        <x:v>18000</x:v>
      </x:c>
      <x:c r="D6" s="33" t="n">
        <x:v>7600</x:v>
      </x:c>
      <x:c r="E6" s="33" t="n">
        <x:f>C6-D6</x:f>
        <x:v>10400</x:v>
      </x:c>
      <x:c r="F6" s="34" t="n">
        <x:f>IFERROR(E6/C6,0)</x:f>
        <x:v>0.5777777777777777</x:v>
      </x:c>
      <x:c r="G6" s="32" t="str">
        <x:v>Active</x:v>
      </x:c>
      <x:c r="H6" s="32" t="str">
        <x:v>Delivery load increased</x:v>
      </x:c>
    </x:row>
    <x:row r="7">
      <x:c r="A7" s="32" t="str">
        <x:v>2026-02</x:v>
      </x:c>
      <x:c r="B7" s="32" t="str">
        <x:v>Bright Retail</x:v>
      </x:c>
      <x:c r="C7" s="33" t="n">
        <x:v>15000</x:v>
      </x:c>
      <x:c r="D7" s="33" t="n">
        <x:v>6900</x:v>
      </x:c>
      <x:c r="E7" s="33" t="n">
        <x:f>C7-D7</x:f>
        <x:v>8100</x:v>
      </x:c>
      <x:c r="F7" s="34" t="n">
        <x:f>IFERROR(E7/C7,0)</x:f>
        <x:v>0.54</x:v>
      </x:c>
      <x:c r="G7" s="32" t="str">
        <x:v>Active</x:v>
      </x:c>
      <x:c r="H7" s="32" t="str">
        <x:v>Added weekly strategy calls</x:v>
      </x:c>
    </x:row>
    <x:row r="8">
      <x:c r="A8" s="32" t="str">
        <x:v>2026-02</x:v>
      </x:c>
      <x:c r="B8" s="32" t="str">
        <x:v>Clear SaaS</x:v>
      </x:c>
      <x:c r="C8" s="33" t="n">
        <x:v>22000</x:v>
      </x:c>
      <x:c r="D8" s="33" t="n">
        <x:v>10800</x:v>
      </x:c>
      <x:c r="E8" s="33" t="n">
        <x:f>C8-D8</x:f>
        <x:v>11200</x:v>
      </x:c>
      <x:c r="F8" s="34" t="n">
        <x:f>IFERROR(E8/C8,0)</x:f>
        <x:v>0.509090909090909</x:v>
      </x:c>
      <x:c r="G8" s="32" t="str">
        <x:v>Watch</x:v>
      </x:c>
      <x:c r="H8" s="32" t="str">
        <x:v>Contribution pressure visible</x:v>
      </x:c>
    </x:row>
    <x:row r="9">
      <x:c r="A9" s="32" t="str">
        <x:v>2026-02</x:v>
      </x:c>
      <x:c r="B9" s="32" t="str">
        <x:v>Delta Fitness</x:v>
      </x:c>
      <x:c r="C9" s="33" t="n">
        <x:v>9000</x:v>
      </x:c>
      <x:c r="D9" s="33" t="n">
        <x:v>5600</x:v>
      </x:c>
      <x:c r="E9" s="33" t="n">
        <x:f>C9-D9</x:f>
        <x:v>3400</x:v>
      </x:c>
      <x:c r="F9" s="34" t="n">
        <x:f>IFERROR(E9/C9,0)</x:f>
        <x:v>0.37777777777777777</x:v>
      </x:c>
      <x:c r="G9" s="32" t="str">
        <x:v>Watch</x:v>
      </x:c>
      <x:c r="H9" s="32" t="str">
        <x:v>Founder involvement increased</x:v>
      </x:c>
    </x:row>
    <x:row r="10">
      <x:c r="A10" s="32" t="str">
        <x:v>2026-03</x:v>
      </x:c>
      <x:c r="B10" s="32" t="str">
        <x:v>Alpha Media</x:v>
      </x:c>
      <x:c r="C10" s="33" t="n">
        <x:v>19000</x:v>
      </x:c>
      <x:c r="D10" s="33" t="n">
        <x:v>8200</x:v>
      </x:c>
      <x:c r="E10" s="33" t="n">
        <x:f>C10-D10</x:f>
        <x:v>10800</x:v>
      </x:c>
      <x:c r="F10" s="34" t="n">
        <x:f>IFERROR(E10/C10,0)</x:f>
        <x:v>0.5684210526315789</x:v>
      </x:c>
      <x:c r="G10" s="32" t="str">
        <x:v>Active</x:v>
      </x:c>
      <x:c r="H10" s="32" t="str">
        <x:v>Moderate scope expansion</x:v>
      </x:c>
    </x:row>
    <x:row r="11">
      <x:c r="A11" s="32" t="str">
        <x:v>2026-03</x:v>
      </x:c>
      <x:c r="B11" s="32" t="str">
        <x:v>Bright Retail</x:v>
      </x:c>
      <x:c r="C11" s="33" t="n">
        <x:v>15000</x:v>
      </x:c>
      <x:c r="D11" s="33" t="n">
        <x:v>7400</x:v>
      </x:c>
      <x:c r="E11" s="33" t="n">
        <x:f>C11-D11</x:f>
        <x:v>7600</x:v>
      </x:c>
      <x:c r="F11" s="34" t="n">
        <x:f>IFERROR(E11/C11,0)</x:f>
        <x:v>0.5066666666666667</x:v>
      </x:c>
      <x:c r="G11" s="32" t="str">
        <x:v>Watch</x:v>
      </x:c>
      <x:c r="H11" s="32" t="str">
        <x:v>Retainer unchanged, workload higher</x:v>
      </x:c>
    </x:row>
    <x:row r="12">
      <x:c r="A12" s="32" t="str">
        <x:v>2026-03</x:v>
      </x:c>
      <x:c r="B12" s="32" t="str">
        <x:v>Clear SaaS</x:v>
      </x:c>
      <x:c r="C12" s="33" t="n">
        <x:v>23000</x:v>
      </x:c>
      <x:c r="D12" s="33" t="n">
        <x:v>12600</x:v>
      </x:c>
      <x:c r="E12" s="33" t="n">
        <x:f>C12-D12</x:f>
        <x:v>10400</x:v>
      </x:c>
      <x:c r="F12" s="34" t="n">
        <x:f>IFERROR(E12/C12,0)</x:f>
        <x:v>0.45217391304347826</x:v>
      </x:c>
      <x:c r="G12" s="32" t="str">
        <x:v>Watch</x:v>
      </x:c>
      <x:c r="H12" s="32" t="str">
        <x:v>Strong revenue but heavy delivery</x:v>
      </x:c>
    </x:row>
    <x:row r="13">
      <x:c r="A13" s="32" t="str">
        <x:v>2026-03</x:v>
      </x:c>
      <x:c r="B13" s="32" t="str">
        <x:v>Delta Fitness</x:v>
      </x:c>
      <x:c r="C13" s="33" t="n">
        <x:v>9000</x:v>
      </x:c>
      <x:c r="D13" s="33" t="n">
        <x:v>6200</x:v>
      </x:c>
      <x:c r="E13" s="33" t="n">
        <x:f>C13-D13</x:f>
        <x:v>2800</x:v>
      </x:c>
      <x:c r="F13" s="34" t="n">
        <x:f>IFERROR(E13/C13,0)</x:f>
        <x:v>0.3111111111111111</x:v>
      </x:c>
      <x:c r="G13" s="32" t="str">
        <x:v>Risk</x:v>
      </x:c>
      <x:c r="H13" s="32" t="str">
        <x:v>Low margin and high support load</x:v>
      </x:c>
    </x:row>
  </x:sheetData>
  <x:conditionalFormatting sqref="F2:F13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G2:G13">
    <x:cfRule type="expression" dxfId="0" priority="2">
      <x:formula>$G2="Risk"</x:formula>
    </x:cfRule>
    <x:cfRule type="expression" dxfId="1" priority="3">
      <x:formula>$G2="Watch"</x:formula>
    </x:cfRule>
  </x:conditionalFormatting>
  <x:dataValidations count="1">
    <x:dataValidation type="list" sqref="G2:G100">
      <x:formula1>"Active,Watch,Risk,Paused"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a48226fbd641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48" hidden="0" customWidth="1"/>
  </x:cols>
  <x:sheetData>
    <x:row r="1" ht="28" customHeight="1">
      <x:c r="A1" s="6" t="str">
        <x:v>Month</x:v>
      </x:c>
      <x:c r="B1" s="6" t="str">
        <x:v>Revenue Trend</x:v>
      </x:c>
      <x:c r="C1" s="6" t="str">
        <x:v>Contribution Trend</x:v>
      </x:c>
      <x:c r="D1" s="6" t="str">
        <x:v>Delivery Pressure</x:v>
      </x:c>
      <x:c r="E1" s="6" t="str">
        <x:v>Hiring Pressure</x:v>
      </x:c>
      <x:c r="F1" s="6" t="str">
        <x:v>Founder Load</x:v>
      </x:c>
      <x:c r="G1" s="6" t="str">
        <x:v>Visibility Note</x:v>
      </x:c>
    </x:row>
    <x:row r="2">
      <x:c r="A2" s="32" t="str">
        <x:v>2026-01</x:v>
      </x:c>
      <x:c r="B2" s="32" t="str">
        <x:v>Baseline</x:v>
      </x:c>
      <x:c r="C2" s="32" t="str">
        <x:v>Baseline</x:v>
      </x:c>
      <x:c r="D2" s="32" t="str">
        <x:v>Medium</x:v>
      </x:c>
      <x:c r="E2" s="32" t="str">
        <x:v>Low</x:v>
      </x:c>
      <x:c r="F2" s="32" t="str">
        <x:v>Medium</x:v>
      </x:c>
      <x:c r="G2" s="32" t="str">
        <x:v>Revenue looks healthy. Delivery pressure already visible in one client.</x:v>
      </x:c>
    </x:row>
    <x:row r="3">
      <x:c r="A3" s="32" t="str">
        <x:v>2026-02</x:v>
      </x:c>
      <x:c r="B3" s="32" t="str">
        <x:v>Up</x:v>
      </x:c>
      <x:c r="C3" s="32" t="str">
        <x:v>Down</x:v>
      </x:c>
      <x:c r="D3" s="32" t="str">
        <x:v>High</x:v>
      </x:c>
      <x:c r="E3" s="32" t="str">
        <x:v>Medium</x:v>
      </x:c>
      <x:c r="F3" s="32" t="str">
        <x:v>High</x:v>
      </x:c>
      <x:c r="G3" s="32" t="str">
        <x:v>Revenue increased, but contribution quality weakened across multiple clients.</x:v>
      </x:c>
    </x:row>
    <x:row r="4">
      <x:c r="A4" s="32" t="str">
        <x:v>2026-03</x:v>
      </x:c>
      <x:c r="B4" s="32" t="str">
        <x:v>Up</x:v>
      </x:c>
      <x:c r="C4" s="32" t="str">
        <x:v>Down</x:v>
      </x:c>
      <x:c r="D4" s="32" t="str">
        <x:v>High</x:v>
      </x:c>
      <x:c r="E4" s="32" t="str">
        <x:v>High</x:v>
      </x:c>
      <x:c r="F4" s="32" t="str">
        <x:v>High</x:v>
      </x:c>
      <x:c r="G4" s="32" t="str">
        <x:v>Growth pressure is becoming operationally heavier despite revenue growth.</x:v>
      </x:c>
    </x:row>
  </x:sheetData>
  <x:pageMargins left="0.7" right="0.7" top="0.75" bottom="0.75" header="0.3" footer="0.3"/>
  <x:tableParts count="1">
    <x:tablePart xmlns:r="http://schemas.openxmlformats.org/officeDocument/2006/relationships" r:id="R39ce2fadb0084e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9" hidden="0" customWidth="1"/>
    <x:col min="4" max="4" width="25" hidden="0" customWidth="1"/>
    <x:col min="5" max="5" width="15" hidden="0" customWidth="1"/>
    <x:col min="6" max="6" width="18" hidden="0" customWidth="1"/>
    <x:col min="7" max="7" width="18" hidden="0" customWidth="1"/>
  </x:cols>
  <x:sheetData>
    <x:row r="1" ht="28" customHeight="1">
      <x:c r="A1" s="6" t="str">
        <x:v>Month</x:v>
      </x:c>
      <x:c r="B1" s="6" t="str">
        <x:v>Total Revenue</x:v>
      </x:c>
      <x:c r="C1" s="6" t="str">
        <x:v>Total Contribution</x:v>
      </x:c>
      <x:c r="D1" s="6" t="str">
        <x:v>Average Contribution Margin</x:v>
      </x:c>
      <x:c r="E1" s="6" t="str">
        <x:v>Active Clients</x:v>
      </x:c>
      <x:c r="F1" s="6" t="str">
        <x:v>Watch/Risk Clients</x:v>
      </x:c>
      <x:c r="G1" s="6" t="str">
        <x:v>Pressure Signal</x:v>
      </x:c>
    </x:row>
    <x:row r="2">
      <x:c r="A2" s="32" t="str">
        <x:v>2026-01</x:v>
      </x:c>
      <x:c r="B2" s="33" t="n">
        <x:f>SUMIF(Sample_Client_Data!$A:$A,A2,Sample_Client_Data!$C:$C)</x:f>
        <x:v>63000</x:v>
      </x:c>
      <x:c r="C2" s="33" t="n">
        <x:f>SUMIF(Sample_Client_Data!$A:$A,A2,Sample_Client_Data!$E:$E)</x:f>
        <x:v>35100</x:v>
      </x:c>
      <x:c r="D2" s="34" t="n">
        <x:f>IFERROR(C2/B2,0)</x:f>
        <x:v>0.5571428571428572</x:v>
      </x:c>
      <x:c r="E2" s="32" t="n">
        <x:f>COUNTIFS(Sample_Client_Data!$A:$A,A2,Sample_Client_Data!$G:$G,"Active")</x:f>
        <x:v>3</x:v>
      </x:c>
      <x:c r="F2" s="32" t="n">
        <x:f>COUNTIFS(Sample_Client_Data!$A:$A,A2,Sample_Client_Data!$G:$G,"Watch")+COUNTIFS(Sample_Client_Data!$A:$A,A2,Sample_Client_Data!$G:$G,"Risk")</x:f>
        <x:v>1</x:v>
      </x:c>
      <x:c r="G2" s="32" t="str">
        <x:f>IF(F2&gt;=2,"High",IF(F2=1,"Medium","Low"))</x:f>
        <x:v>Medium</x:v>
      </x:c>
    </x:row>
    <x:row r="3">
      <x:c r="A3" s="32" t="str">
        <x:v>2026-02</x:v>
      </x:c>
      <x:c r="B3" s="33" t="n">
        <x:f>SUMIF(Sample_Client_Data!$A:$A,A3,Sample_Client_Data!$C:$C)</x:f>
        <x:v>64000</x:v>
      </x:c>
      <x:c r="C3" s="33" t="n">
        <x:f>SUMIF(Sample_Client_Data!$A:$A,A3,Sample_Client_Data!$E:$E)</x:f>
        <x:v>33100</x:v>
      </x:c>
      <x:c r="D3" s="34" t="n">
        <x:f>IFERROR(C3/B3,0)</x:f>
        <x:v>0.5171875</x:v>
      </x:c>
      <x:c r="E3" s="32" t="n">
        <x:f>COUNTIFS(Sample_Client_Data!$A:$A,A3,Sample_Client_Data!$G:$G,"Active")</x:f>
        <x:v>2</x:v>
      </x:c>
      <x:c r="F3" s="32" t="n">
        <x:f>COUNTIFS(Sample_Client_Data!$A:$A,A3,Sample_Client_Data!$G:$G,"Watch")+COUNTIFS(Sample_Client_Data!$A:$A,A3,Sample_Client_Data!$G:$G,"Risk")</x:f>
        <x:v>2</x:v>
      </x:c>
      <x:c r="G3" s="32" t="str">
        <x:f>IF(F3&gt;=2,"High",IF(F3=1,"Medium","Low"))</x:f>
        <x:v>High</x:v>
      </x:c>
    </x:row>
    <x:row r="4">
      <x:c r="A4" s="32" t="str">
        <x:v>2026-03</x:v>
      </x:c>
      <x:c r="B4" s="33" t="n">
        <x:f>SUMIF(Sample_Client_Data!$A:$A,A4,Sample_Client_Data!$C:$C)</x:f>
        <x:v>66000</x:v>
      </x:c>
      <x:c r="C4" s="33" t="n">
        <x:f>SUMIF(Sample_Client_Data!$A:$A,A4,Sample_Client_Data!$E:$E)</x:f>
        <x:v>31600</x:v>
      </x:c>
      <x:c r="D4" s="34" t="n">
        <x:f>IFERROR(C4/B4,0)</x:f>
        <x:v>0.47878787878787876</x:v>
      </x:c>
      <x:c r="E4" s="32" t="n">
        <x:f>COUNTIFS(Sample_Client_Data!$A:$A,A4,Sample_Client_Data!$G:$G,"Active")</x:f>
        <x:v>1</x:v>
      </x:c>
      <x:c r="F4" s="32" t="n">
        <x:f>COUNTIFS(Sample_Client_Data!$A:$A,A4,Sample_Client_Data!$G:$G,"Watch")+COUNTIFS(Sample_Client_Data!$A:$A,A4,Sample_Client_Data!$G:$G,"Risk")</x:f>
        <x:v>3</x:v>
      </x:c>
      <x:c r="G4" s="32" t="str">
        <x:f>IF(F4&gt;=2,"High",IF(F4=1,"Medium","Low"))</x:f>
        <x:v>High</x:v>
      </x:c>
    </x:row>
    <x:row r="7">
      <x:c r="A7" s="20" t="str">
        <x:v>Purpose</x:v>
      </x:c>
      <x:c r="B7" s="20"/>
      <x:c r="C7" s="20"/>
      <x:c r="D7" s="20"/>
      <x:c r="E7" s="20"/>
      <x:c r="F7" s="20"/>
      <x:c r="G7" s="20"/>
    </x:row>
    <x:row r="8">
      <x:c r="A8" s="26" t="str">
        <x:v>This Lite template is an educational visibility example. It demonstrates contribution-oriented thinking for founder-led agencies without exposing proprietary decision logic, freeze rules, or the full Growth Ops Control System architecture.</x:v>
      </x:c>
      <x:c r="B8" s="26"/>
      <x:c r="C8" s="26"/>
      <x:c r="D8" s="26"/>
      <x:c r="E8" s="26"/>
      <x:c r="F8" s="26"/>
      <x:c r="G8" s="26"/>
    </x:row>
    <x:row r="9">
      <x:c r="A9" s="26"/>
      <x:c r="B9" s="26"/>
      <x:c r="C9" s="26"/>
      <x:c r="D9" s="26"/>
      <x:c r="E9" s="26"/>
      <x:c r="F9" s="26"/>
      <x:c r="G9" s="26"/>
    </x:row>
    <x:row r="10">
      <x:c r="A10" s="26"/>
      <x:c r="B10" s="26"/>
      <x:c r="C10" s="26"/>
      <x:c r="D10" s="26"/>
      <x:c r="E10" s="26"/>
      <x:c r="F10" s="26"/>
      <x:c r="G10" s="26"/>
    </x:row>
    <x:row r="11">
      <x:c r="A11" s="26"/>
      <x:c r="B11" s="26"/>
      <x:c r="C11" s="26"/>
      <x:c r="D11" s="26"/>
      <x:c r="E11" s="26"/>
      <x:c r="F11" s="26"/>
      <x:c r="G11" s="26"/>
    </x:row>
  </x:sheetData>
  <x:mergeCells>
    <x:mergeCell ref="A7:G7"/>
    <x:mergeCell ref="A8:G11"/>
  </x:mergeCells>
  <x:conditionalFormatting sqref="G2:G4">
    <x:cfRule type="expression" dxfId="2" priority="1">
      <x:formula>$G2="High"</x:formula>
    </x:cfRule>
    <x:cfRule type="expression" dxfId="3" priority="2">
      <x:formula>$G2="Medium"</x:formula>
    </x:cfRule>
    <x:cfRule type="expression" dxfId="4" priority="3">
      <x:formula>$G2="Low"</x:formula>
    </x:cfRule>
  </x:conditionalFormatting>
  <x:pageMargins left="0.7" right="0.7" top="0.75" bottom="0.75" header="0.3" footer="0.3"/>
  <x:drawing xmlns:r="http://schemas.openxmlformats.org/officeDocument/2006/relationships" r:id="Rfd1aa242e41f4225"/>
  <x:tableParts count="1">
    <x:tablePart xmlns:r="http://schemas.openxmlformats.org/officeDocument/2006/relationships" r:id="R3c9f00e80cb640b1"/>
  </x:tableParts>
</x:worksheet>
</file>